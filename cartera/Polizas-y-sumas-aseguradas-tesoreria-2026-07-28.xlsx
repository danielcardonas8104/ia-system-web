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olizas" sheetId="2" state="visible" r:id="rId2"/>
    <sheet name="Coberturas" sheetId="3" state="visible" r:id="rId3"/>
  </sheets>
  <definedNames>
    <definedName name="_xlnm._FilterDatabase" localSheetId="1" hidden="1">'Polizas'!$A$1:$P$7</definedName>
    <definedName name="_xlnm._FilterDatabase" localSheetId="2" hidden="1">'Coberturas'!$A$1:$H$22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000"/>
    <numFmt numFmtId="165" formatCode="$#,##0;($#,##0);-"/>
    <numFmt numFmtId="166" formatCode="#,##0.00;(#,##0.00);-"/>
  </numFmts>
  <fonts count="13">
    <font>
      <name val="Calibri"/>
      <family val="2"/>
      <color theme="1"/>
      <sz val="11"/>
      <scheme val="minor"/>
    </font>
    <font>
      <name val="Arial"/>
      <b val="1"/>
      <color rgb="FF111827"/>
      <sz val="15"/>
    </font>
    <font>
      <name val="Arial"/>
      <color rgb="FF6B7280"/>
      <sz val="10"/>
    </font>
    <font>
      <name val="Arial"/>
      <b val="1"/>
      <color rgb="FF111827"/>
      <sz val="10"/>
    </font>
    <font>
      <name val="Arial"/>
      <sz val="10"/>
    </font>
    <font>
      <name val="Arial"/>
      <b val="1"/>
      <color rgb="FF0000FF"/>
      <sz val="10"/>
    </font>
    <font>
      <name val="Arial"/>
      <i val="1"/>
      <color rgb="FF6B7280"/>
      <sz val="9"/>
    </font>
    <font>
      <name val="Arial"/>
      <b val="1"/>
      <sz val="10"/>
    </font>
    <font>
      <name val="Arial"/>
      <b val="1"/>
      <sz val="11"/>
    </font>
    <font>
      <name val="Arial"/>
      <color rgb="FF6B7280"/>
      <sz val="9"/>
    </font>
    <font>
      <name val="Arial"/>
      <b val="1"/>
      <color rgb="FFFFFFFF"/>
      <sz val="9"/>
    </font>
    <font>
      <name val="Arial"/>
      <sz val="9"/>
    </font>
    <font>
      <name val="Arial"/>
      <b val="1"/>
      <sz val="9"/>
    </font>
  </fonts>
  <fills count="7">
    <fill>
      <patternFill/>
    </fill>
    <fill>
      <patternFill patternType="gray125"/>
    </fill>
    <fill>
      <patternFill patternType="solid">
        <fgColor rgb="FFE5E7EB"/>
      </patternFill>
    </fill>
    <fill>
      <patternFill patternType="solid">
        <fgColor rgb="FFFFFF00"/>
      </patternFill>
    </fill>
    <fill>
      <patternFill patternType="solid">
        <fgColor rgb="FFFEF7EC"/>
      </patternFill>
    </fill>
    <fill>
      <patternFill patternType="solid">
        <fgColor rgb="FF334155"/>
      </patternFill>
    </fill>
    <fill>
      <patternFill patternType="solid">
        <fgColor rgb="FFF3F4F6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top style="medium">
        <color rgb="FF334155"/>
      </top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164" fontId="5" fillId="3" borderId="1" pivotButton="0" quotePrefix="0" xfId="0"/>
    <xf numFmtId="0" fontId="6" fillId="0" borderId="0" pivotButton="0" quotePrefix="0" xfId="0"/>
    <xf numFmtId="3" fontId="4" fillId="0" borderId="0" applyAlignment="1" pivotButton="0" quotePrefix="0" xfId="0">
      <alignment horizontal="right"/>
    </xf>
    <xf numFmtId="0" fontId="7" fillId="0" borderId="2" pivotButton="0" quotePrefix="0" xfId="0"/>
    <xf numFmtId="3" fontId="7" fillId="0" borderId="2" applyAlignment="1" pivotButton="0" quotePrefix="0" xfId="0">
      <alignment horizontal="right"/>
    </xf>
    <xf numFmtId="165" fontId="8" fillId="0" borderId="1" pivotButton="0" quotePrefix="0" xfId="0"/>
    <xf numFmtId="165" fontId="8" fillId="4" borderId="1" pivotButton="0" quotePrefix="0" xfId="0"/>
    <xf numFmtId="0" fontId="7" fillId="0" borderId="0" pivotButton="0" quotePrefix="0" xfId="0"/>
    <xf numFmtId="0" fontId="9" fillId="0" borderId="0" applyAlignment="1" pivotButton="0" quotePrefix="0" xfId="0">
      <alignment vertical="top" wrapText="1"/>
    </xf>
    <xf numFmtId="0" fontId="10" fillId="5" borderId="1" applyAlignment="1" pivotButton="0" quotePrefix="0" xfId="0">
      <alignment vertical="center" wrapText="1"/>
    </xf>
    <xf numFmtId="0" fontId="11" fillId="6" borderId="1" pivotButton="0" quotePrefix="0" xfId="0"/>
    <xf numFmtId="166" fontId="11" fillId="6" borderId="1" applyAlignment="1" pivotButton="0" quotePrefix="0" xfId="0">
      <alignment horizontal="right"/>
    </xf>
    <xf numFmtId="165" fontId="11" fillId="6" borderId="1" pivotButton="0" quotePrefix="0" xfId="0"/>
    <xf numFmtId="165" fontId="12" fillId="6" borderId="1" pivotButton="0" quotePrefix="0" xfId="0"/>
    <xf numFmtId="0" fontId="11" fillId="0" borderId="1" pivotButton="0" quotePrefix="0" xfId="0"/>
    <xf numFmtId="166" fontId="11" fillId="0" borderId="1" applyAlignment="1" pivotButton="0" quotePrefix="0" xfId="0">
      <alignment horizontal="right"/>
    </xf>
    <xf numFmtId="165" fontId="11" fillId="0" borderId="1" pivotButton="0" quotePrefix="0" xfId="0"/>
    <xf numFmtId="165" fontId="12" fillId="0" borderId="1" pivotButton="0" quotePrefix="0" xfId="0"/>
    <xf numFmtId="0" fontId="12" fillId="0" borderId="2" pivotButton="0" quotePrefix="0" xfId="0"/>
    <xf numFmtId="165" fontId="12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40" customWidth="1" min="3" max="3"/>
  </cols>
  <sheetData>
    <row r="1">
      <c r="A1" s="1" t="inlineStr">
        <is>
          <t>Inventario de pólizas y sumas aseguradas</t>
        </is>
      </c>
    </row>
    <row r="2">
      <c r="A2" s="2" t="inlineStr">
        <is>
          <t>Daniel Cardona Sánchez  ·  Prudential Seguros México, S.A. de C.V.</t>
        </is>
      </c>
    </row>
    <row r="3">
      <c r="A3" s="2" t="inlineStr">
        <is>
          <t>Fecha de corte: 28 de julio de 2026</t>
        </is>
      </c>
    </row>
    <row r="5">
      <c r="A5" s="3" t="inlineStr">
        <is>
          <t>PARÁMETROS DE VALUACIÓN  (editar estas celdas)</t>
        </is>
      </c>
      <c r="B5" s="4" t="n"/>
      <c r="C5" s="4" t="n"/>
    </row>
    <row r="6">
      <c r="A6" s="5" t="inlineStr">
        <is>
          <t>Valor de la UDI en pesos</t>
        </is>
      </c>
      <c r="B6" s="6" t="n">
        <v>8.830830000000001</v>
      </c>
      <c r="C6" s="7" t="inlineStr">
        <is>
          <t>Banxico. Actualízalo el día que uses el archivo.</t>
        </is>
      </c>
    </row>
    <row r="7">
      <c r="A7" s="5" t="inlineStr">
        <is>
          <t>Tipo de cambio USD/MXN (FIX)</t>
        </is>
      </c>
      <c r="B7" s="6" t="n">
        <v>17.513</v>
      </c>
      <c r="C7" s="7" t="inlineStr">
        <is>
          <t>DOF, publicado para el 24/07/2026.</t>
        </is>
      </c>
    </row>
    <row r="8">
      <c r="A8" s="7" t="inlineStr">
        <is>
          <t>Todas las cifras en pesos del archivo se recalculan a partir de estas dos celdas.</t>
        </is>
      </c>
    </row>
    <row r="10">
      <c r="A10" s="3" t="inlineStr">
        <is>
          <t>NÚMERO DE PÓLIZAS</t>
        </is>
      </c>
      <c r="B10" s="4" t="n"/>
      <c r="C10" s="4" t="n"/>
    </row>
    <row r="11">
      <c r="A11" s="5" t="inlineStr">
        <is>
          <t>Pólizas del titular (Daniel Cardona Sánchez)</t>
        </is>
      </c>
      <c r="B11" s="8">
        <f>COUNTIF(Polizas!$D$2:$D$7,"Titular")</f>
        <v/>
      </c>
    </row>
    <row r="12">
      <c r="A12" s="5" t="inlineStr">
        <is>
          <t>Pólizas del grupo familiar</t>
        </is>
      </c>
      <c r="B12" s="8">
        <f>COUNTIF(Polizas!$D$2:$D$7,"Grupo familiar")</f>
        <v/>
      </c>
    </row>
    <row r="13">
      <c r="A13" s="9" t="inlineStr">
        <is>
          <t>Total de pólizas vigentes</t>
        </is>
      </c>
      <c r="B13" s="10">
        <f>B11+B12</f>
        <v/>
      </c>
    </row>
    <row r="15">
      <c r="A15" s="3" t="inlineStr">
        <is>
          <t>SUMA ASEGURADA DEL TITULAR  (pesos)</t>
        </is>
      </c>
      <c r="B15" s="4" t="n"/>
      <c r="C15" s="4" t="n"/>
    </row>
    <row r="16">
      <c r="A16" s="5" t="inlineStr">
        <is>
          <t>Fallecimiento por cualquier causa</t>
        </is>
      </c>
      <c r="B16" s="11">
        <f>SUMIF(Polizas!$D$2:$D$7,"Titular",Polizas!$M$2:$M$7)</f>
        <v/>
      </c>
      <c r="C16" s="7" t="inlineStr">
        <is>
          <t>Sólo cobertura básica. Es la protección de piso real.</t>
        </is>
      </c>
    </row>
    <row r="17">
      <c r="A17" s="5" t="inlineStr">
        <is>
          <t>Fallecimiento accidental</t>
        </is>
      </c>
      <c r="B17" s="11">
        <f>SUMIF(Polizas!$D$2:$D$7,"Titular",Polizas!$P$2:$P$7)</f>
        <v/>
      </c>
      <c r="C17" s="7" t="inlineStr">
        <is>
          <t>Básica más muerte accidental. Aplica sólo si el fallecimiento es accidental.</t>
        </is>
      </c>
    </row>
    <row r="18">
      <c r="A18" s="5" t="inlineStr">
        <is>
          <t>Invalidez total y permanente</t>
        </is>
      </c>
      <c r="B18" s="11">
        <f>SUMIF(Polizas!$D$2:$D$7,"Titular",Polizas!$N$2:$N$7)</f>
        <v/>
      </c>
      <c r="C18" s="7" t="inlineStr">
        <is>
          <t>Beneficio independiente. No se suma al fallecimiento.</t>
        </is>
      </c>
    </row>
    <row r="20">
      <c r="A20" s="3" t="inlineStr">
        <is>
          <t>SUMA ASEGURADA DEL GRUPO FAMILIAR  (pesos)</t>
        </is>
      </c>
      <c r="B20" s="4" t="n"/>
      <c r="C20" s="4" t="n"/>
    </row>
    <row r="21">
      <c r="A21" s="5" t="inlineStr">
        <is>
          <t>Fallecimiento por cualquier causa</t>
        </is>
      </c>
      <c r="B21" s="11">
        <f>SUMIF(Polizas!$D$2:$D$7,"Grupo familiar",Polizas!$M$2:$M$7)</f>
        <v/>
      </c>
    </row>
    <row r="22">
      <c r="A22" s="5" t="inlineStr">
        <is>
          <t>Fallecimiento accidental</t>
        </is>
      </c>
      <c r="B22" s="11">
        <f>SUMIF(Polizas!$D$2:$D$7,"Grupo familiar",Polizas!$P$2:$P$7)</f>
        <v/>
      </c>
    </row>
    <row r="23">
      <c r="A23" s="5" t="inlineStr">
        <is>
          <t>Invalidez total y permanente</t>
        </is>
      </c>
      <c r="B23" s="11">
        <f>SUMIF(Polizas!$D$2:$D$7,"Grupo familiar",Polizas!$N$2:$N$7)</f>
        <v/>
      </c>
    </row>
    <row r="25">
      <c r="A25" s="3" t="inlineStr">
        <is>
          <t>TOTAL CONSOLIDADO  (pesos)</t>
        </is>
      </c>
      <c r="B25" s="4" t="n"/>
      <c r="C25" s="4" t="n"/>
    </row>
    <row r="26">
      <c r="A26" s="5" t="inlineStr">
        <is>
          <t>Fallecimiento por cualquier causa</t>
        </is>
      </c>
      <c r="B26" s="12">
        <f>B16+B21</f>
        <v/>
      </c>
    </row>
    <row r="27">
      <c r="A27" s="5" t="inlineStr">
        <is>
          <t>Fallecimiento accidental</t>
        </is>
      </c>
      <c r="B27" s="12">
        <f>B17+B22</f>
        <v/>
      </c>
    </row>
    <row r="29">
      <c r="A29" s="13" t="inlineStr">
        <is>
          <t>Notas</t>
        </is>
      </c>
    </row>
    <row r="30" ht="26" customHeight="1">
      <c r="A30" s="14" t="inlineStr">
        <is>
          <t>· Las sumas aseguradas no se acumulan de forma plana. La cobertura por muerte accidental se suma a la básica únicamente cuando el fallecimiento es de origen accidental.</t>
        </is>
      </c>
    </row>
    <row r="31" ht="26" customHeight="1">
      <c r="A31" s="14" t="inlineStr">
        <is>
          <t>· Las coberturas de invalidez y de salud son beneficios independientes y no se suman al beneficio por fallecimiento.</t>
        </is>
      </c>
    </row>
    <row r="32" ht="26" customHeight="1">
      <c r="A32" s="14" t="inlineStr">
        <is>
          <t>· Fuente de los datos: Portal de Agentes Prudential, ruta Consultas &gt; Pólizas, pestaña Coberturas de la carátula, consultada el 28/07/2026.</t>
        </is>
      </c>
    </row>
    <row r="33" ht="26" customHeight="1">
      <c r="A33" s="14" t="inlineStr">
        <is>
          <t>· Pendientes: designación de beneficiarios, valores de rescate y confirmar si el plazo de 5 años de la póliza 102264 es periodo de pago o vigencia de la cobertura.</t>
        </is>
      </c>
    </row>
  </sheetData>
  <mergeCells count="4">
    <mergeCell ref="A32:C32"/>
    <mergeCell ref="A31:C31"/>
    <mergeCell ref="A30:C30"/>
    <mergeCell ref="A33:C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4" customWidth="1" min="4" max="4"/>
    <col width="40" customWidth="1" min="5" max="5"/>
    <col width="11" customWidth="1" min="6" max="6"/>
    <col width="11" customWidth="1" min="7" max="7"/>
    <col width="10" customWidth="1" min="8" max="8"/>
    <col width="13" customWidth="1" min="9" max="9"/>
    <col width="13" customWidth="1" min="10" max="10"/>
    <col width="14" customWidth="1" min="11" max="11"/>
    <col width="11" customWidth="1" min="12" max="12"/>
    <col width="14" customWidth="1" min="13" max="13"/>
    <col width="14" customWidth="1" min="14" max="14"/>
    <col width="15" customWidth="1" min="15" max="15"/>
    <col width="19" customWidth="1" min="16" max="16"/>
  </cols>
  <sheetData>
    <row r="1" ht="30" customHeight="1">
      <c r="A1" s="15" t="inlineStr">
        <is>
          <t>Póliza</t>
        </is>
      </c>
      <c r="B1" s="15" t="inlineStr">
        <is>
          <t>Contratante</t>
        </is>
      </c>
      <c r="C1" s="15" t="inlineStr">
        <is>
          <t>Asegurado</t>
        </is>
      </c>
      <c r="D1" s="15" t="inlineStr">
        <is>
          <t>Titularidad</t>
        </is>
      </c>
      <c r="E1" s="15" t="inlineStr">
        <is>
          <t>Producto</t>
        </is>
      </c>
      <c r="F1" s="15" t="inlineStr">
        <is>
          <t>Emisión</t>
        </is>
      </c>
      <c r="G1" s="15" t="inlineStr">
        <is>
          <t>Estatus</t>
        </is>
      </c>
      <c r="H1" s="15" t="inlineStr">
        <is>
          <t>Moneda</t>
        </is>
      </c>
      <c r="I1" s="15" t="inlineStr">
        <is>
          <t>SA básica</t>
        </is>
      </c>
      <c r="J1" s="15" t="inlineStr">
        <is>
          <t>SA invalidez</t>
        </is>
      </c>
      <c r="K1" s="15" t="inlineStr">
        <is>
          <t>SA accidental</t>
        </is>
      </c>
      <c r="L1" s="15" t="inlineStr">
        <is>
          <t>SA salud</t>
        </is>
      </c>
      <c r="M1" s="15" t="inlineStr">
        <is>
          <t>Básica MXN</t>
        </is>
      </c>
      <c r="N1" s="15" t="inlineStr">
        <is>
          <t>Invalidez MXN</t>
        </is>
      </c>
      <c r="O1" s="15" t="inlineStr">
        <is>
          <t>Accidental MXN</t>
        </is>
      </c>
      <c r="P1" s="15" t="inlineStr">
        <is>
          <t>Total accidental MXN</t>
        </is>
      </c>
    </row>
    <row r="2">
      <c r="A2" s="16" t="inlineStr">
        <is>
          <t>89793</t>
        </is>
      </c>
      <c r="B2" s="16" t="inlineStr">
        <is>
          <t>DANIEL CARDONA SANCHEZ</t>
        </is>
      </c>
      <c r="C2" s="16" t="inlineStr">
        <is>
          <t>DANIEL CARDONA SANCHEZ</t>
        </is>
      </c>
      <c r="D2" s="16" t="inlineStr">
        <is>
          <t>Titular</t>
        </is>
      </c>
      <c r="E2" s="16" t="inlineStr">
        <is>
          <t>BIENESTAR PRUDENTIAL 20 AÑOS SIN INVALIDEZ</t>
        </is>
      </c>
      <c r="F2" s="16" t="inlineStr">
        <is>
          <t>02/07/2024</t>
        </is>
      </c>
      <c r="G2" s="16" t="inlineStr">
        <is>
          <t>EN VIGOR</t>
        </is>
      </c>
      <c r="H2" s="16" t="inlineStr">
        <is>
          <t>UDIS</t>
        </is>
      </c>
      <c r="I2" s="17" t="n">
        <v>150000</v>
      </c>
      <c r="J2" s="17" t="n">
        <v>150000</v>
      </c>
      <c r="K2" s="17" t="n">
        <v>150000</v>
      </c>
      <c r="L2" s="17" t="n">
        <v>40000</v>
      </c>
      <c r="M2" s="18">
        <f>IF($H2="UDIS",I2*Resumen!$B$6,I2*Resumen!$B$7)</f>
        <v/>
      </c>
      <c r="N2" s="18">
        <f>IF($H2="UDIS",J2*Resumen!$B$6,J2*Resumen!$B$7)</f>
        <v/>
      </c>
      <c r="O2" s="18">
        <f>IF($H2="UDIS",K2*Resumen!$B$6,K2*Resumen!$B$7)</f>
        <v/>
      </c>
      <c r="P2" s="19">
        <f>M2+O2</f>
        <v/>
      </c>
    </row>
    <row r="3">
      <c r="A3" s="20" t="inlineStr">
        <is>
          <t>102239</t>
        </is>
      </c>
      <c r="B3" s="20" t="inlineStr">
        <is>
          <t>DANIEL CARDONA SANCHEZ</t>
        </is>
      </c>
      <c r="C3" s="20" t="inlineStr">
        <is>
          <t>DANIEL CARDONA SANCHEZ</t>
        </is>
      </c>
      <c r="D3" s="20" t="inlineStr">
        <is>
          <t>Titular</t>
        </is>
      </c>
      <c r="E3" s="20" t="inlineStr">
        <is>
          <t>PERSONALIZA PRU 20 AÑOS</t>
        </is>
      </c>
      <c r="F3" s="20" t="inlineStr">
        <is>
          <t>30/10/2025</t>
        </is>
      </c>
      <c r="G3" s="20" t="inlineStr">
        <is>
          <t>EN VIGOR</t>
        </is>
      </c>
      <c r="H3" s="20" t="inlineStr">
        <is>
          <t>UDIS</t>
        </is>
      </c>
      <c r="I3" s="21" t="n">
        <v>60000</v>
      </c>
      <c r="J3" s="21" t="n">
        <v>200000</v>
      </c>
      <c r="K3" s="21" t="n">
        <v>200000</v>
      </c>
      <c r="L3" s="21" t="n">
        <v>0</v>
      </c>
      <c r="M3" s="22">
        <f>IF($H3="UDIS",I3*Resumen!$B$6,I3*Resumen!$B$7)</f>
        <v/>
      </c>
      <c r="N3" s="22">
        <f>IF($H3="UDIS",J3*Resumen!$B$6,J3*Resumen!$B$7)</f>
        <v/>
      </c>
      <c r="O3" s="22">
        <f>IF($H3="UDIS",K3*Resumen!$B$6,K3*Resumen!$B$7)</f>
        <v/>
      </c>
      <c r="P3" s="23">
        <f>M3+O3</f>
        <v/>
      </c>
    </row>
    <row r="4">
      <c r="A4" s="16" t="inlineStr">
        <is>
          <t>102261</t>
        </is>
      </c>
      <c r="B4" s="16" t="inlineStr">
        <is>
          <t>DANIEL CARDONA SANCHEZ</t>
        </is>
      </c>
      <c r="C4" s="16" t="inlineStr">
        <is>
          <t>DANIEL CARDONA SANCHEZ</t>
        </is>
      </c>
      <c r="D4" s="16" t="inlineStr">
        <is>
          <t>Titular</t>
        </is>
      </c>
      <c r="E4" s="16" t="inlineStr">
        <is>
          <t>GARANTÍA PRUDENTIAL 20 AÑOS SIN INVALIDEZ</t>
        </is>
      </c>
      <c r="F4" s="16" t="inlineStr">
        <is>
          <t>30/10/2025</t>
        </is>
      </c>
      <c r="G4" s="16" t="inlineStr">
        <is>
          <t>EN VIGOR</t>
        </is>
      </c>
      <c r="H4" s="16" t="inlineStr">
        <is>
          <t>UDIS</t>
        </is>
      </c>
      <c r="I4" s="17" t="n">
        <v>225000</v>
      </c>
      <c r="J4" s="17" t="n">
        <v>225000</v>
      </c>
      <c r="K4" s="17" t="n">
        <v>225000</v>
      </c>
      <c r="L4" s="17" t="n">
        <v>0</v>
      </c>
      <c r="M4" s="18">
        <f>IF($H4="UDIS",I4*Resumen!$B$6,I4*Resumen!$B$7)</f>
        <v/>
      </c>
      <c r="N4" s="18">
        <f>IF($H4="UDIS",J4*Resumen!$B$6,J4*Resumen!$B$7)</f>
        <v/>
      </c>
      <c r="O4" s="18">
        <f>IF($H4="UDIS",K4*Resumen!$B$6,K4*Resumen!$B$7)</f>
        <v/>
      </c>
      <c r="P4" s="19">
        <f>M4+O4</f>
        <v/>
      </c>
    </row>
    <row r="5">
      <c r="A5" s="20" t="inlineStr">
        <is>
          <t>102264</t>
        </is>
      </c>
      <c r="B5" s="20" t="inlineStr">
        <is>
          <t>DANIEL CARDONA SANCHEZ</t>
        </is>
      </c>
      <c r="C5" s="20" t="inlineStr">
        <is>
          <t>DANIEL CARDONA SANCHEZ</t>
        </is>
      </c>
      <c r="D5" s="20" t="inlineStr">
        <is>
          <t>Titular</t>
        </is>
      </c>
      <c r="E5" s="20" t="inlineStr">
        <is>
          <t>BIENESTAR PRUDENTIAL 5 AÑOS SIN INVALIDEZ</t>
        </is>
      </c>
      <c r="F5" s="20" t="inlineStr">
        <is>
          <t>30/10/2025</t>
        </is>
      </c>
      <c r="G5" s="20" t="inlineStr">
        <is>
          <t>EN VIGOR</t>
        </is>
      </c>
      <c r="H5" s="20" t="inlineStr">
        <is>
          <t>DOLARES</t>
        </is>
      </c>
      <c r="I5" s="21" t="n">
        <v>113300</v>
      </c>
      <c r="J5" s="21" t="n">
        <v>113300</v>
      </c>
      <c r="K5" s="21" t="n">
        <v>113300</v>
      </c>
      <c r="L5" s="21" t="n">
        <v>0</v>
      </c>
      <c r="M5" s="22">
        <f>IF($H5="UDIS",I5*Resumen!$B$6,I5*Resumen!$B$7)</f>
        <v/>
      </c>
      <c r="N5" s="22">
        <f>IF($H5="UDIS",J5*Resumen!$B$6,J5*Resumen!$B$7)</f>
        <v/>
      </c>
      <c r="O5" s="22">
        <f>IF($H5="UDIS",K5*Resumen!$B$6,K5*Resumen!$B$7)</f>
        <v/>
      </c>
      <c r="P5" s="23">
        <f>M5+O5</f>
        <v/>
      </c>
    </row>
    <row r="6">
      <c r="A6" s="16" t="inlineStr">
        <is>
          <t>92834</t>
        </is>
      </c>
      <c r="B6" s="16" t="inlineStr">
        <is>
          <t>MARTHA LETICIA GOSSEREZ ROJAS</t>
        </is>
      </c>
      <c r="C6" s="16" t="inlineStr">
        <is>
          <t>MARTHA LETICIA GOSSEREZ ROJAS</t>
        </is>
      </c>
      <c r="D6" s="16" t="inlineStr">
        <is>
          <t>Grupo familiar</t>
        </is>
      </c>
      <c r="E6" s="16" t="inlineStr">
        <is>
          <t>BIENESTAR PRUDENTIAL 10 AÑOS SIN INVALIDEZ</t>
        </is>
      </c>
      <c r="F6" s="16" t="inlineStr">
        <is>
          <t>31/10/2024</t>
        </is>
      </c>
      <c r="G6" s="16" t="inlineStr">
        <is>
          <t>EN VIGOR</t>
        </is>
      </c>
      <c r="H6" s="16" t="inlineStr">
        <is>
          <t>UDIS</t>
        </is>
      </c>
      <c r="I6" s="17" t="n">
        <v>250000</v>
      </c>
      <c r="J6" s="17" t="n">
        <v>250000</v>
      </c>
      <c r="K6" s="17" t="n">
        <v>250000</v>
      </c>
      <c r="L6" s="17" t="n">
        <v>27500</v>
      </c>
      <c r="M6" s="18">
        <f>IF($H6="UDIS",I6*Resumen!$B$6,I6*Resumen!$B$7)</f>
        <v/>
      </c>
      <c r="N6" s="18">
        <f>IF($H6="UDIS",J6*Resumen!$B$6,J6*Resumen!$B$7)</f>
        <v/>
      </c>
      <c r="O6" s="18">
        <f>IF($H6="UDIS",K6*Resumen!$B$6,K6*Resumen!$B$7)</f>
        <v/>
      </c>
      <c r="P6" s="19">
        <f>M6+O6</f>
        <v/>
      </c>
    </row>
    <row r="7">
      <c r="A7" s="20" t="inlineStr">
        <is>
          <t>100631</t>
        </is>
      </c>
      <c r="B7" s="20" t="inlineStr">
        <is>
          <t>MARTHA LETICIA GOSSEREZ ROJAS</t>
        </is>
      </c>
      <c r="C7" s="20" t="inlineStr">
        <is>
          <t>ALDO CARDONA GOSSEREZ</t>
        </is>
      </c>
      <c r="D7" s="20" t="inlineStr">
        <is>
          <t>Grupo familiar</t>
        </is>
      </c>
      <c r="E7" s="20" t="inlineStr">
        <is>
          <t>PERSONALIZA PRU 20 AÑOS</t>
        </is>
      </c>
      <c r="F7" s="20" t="inlineStr">
        <is>
          <t>25/09/2025</t>
        </is>
      </c>
      <c r="G7" s="20" t="inlineStr">
        <is>
          <t>EN VIGOR</t>
        </is>
      </c>
      <c r="H7" s="20" t="inlineStr">
        <is>
          <t>UDIS</t>
        </is>
      </c>
      <c r="I7" s="21" t="n">
        <v>60000</v>
      </c>
      <c r="J7" s="21" t="n">
        <v>0</v>
      </c>
      <c r="K7" s="21" t="n">
        <v>370000</v>
      </c>
      <c r="L7" s="21" t="n">
        <v>0</v>
      </c>
      <c r="M7" s="22">
        <f>IF($H7="UDIS",I7*Resumen!$B$6,I7*Resumen!$B$7)</f>
        <v/>
      </c>
      <c r="N7" s="22">
        <f>IF($H7="UDIS",J7*Resumen!$B$6,J7*Resumen!$B$7)</f>
        <v/>
      </c>
      <c r="O7" s="22">
        <f>IF($H7="UDIS",K7*Resumen!$B$6,K7*Resumen!$B$7)</f>
        <v/>
      </c>
      <c r="P7" s="23">
        <f>M7+O7</f>
        <v/>
      </c>
    </row>
    <row r="8">
      <c r="A8" s="24" t="inlineStr">
        <is>
          <t>TOTAL</t>
        </is>
      </c>
      <c r="M8" s="25">
        <f>SUM(M2:M7)</f>
        <v/>
      </c>
      <c r="N8" s="25">
        <f>SUM(N2:N7)</f>
        <v/>
      </c>
      <c r="O8" s="25">
        <f>SUM(O2:O7)</f>
        <v/>
      </c>
      <c r="P8" s="25">
        <f>SUM(P2:P7)</f>
        <v/>
      </c>
    </row>
    <row r="10">
      <c r="A10" s="7" t="inlineStr">
        <is>
          <t>Las columnas en pesos se calculan con la UDI y el tipo de cambio de la hoja Resumen, celdas B6 y B7.</t>
        </is>
      </c>
    </row>
  </sheetData>
  <autoFilter ref="A1:P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48" customWidth="1" min="3" max="3"/>
    <col width="12" customWidth="1" min="4" max="4"/>
    <col width="15" customWidth="1" min="5" max="5"/>
    <col width="10" customWidth="1" min="6" max="6"/>
    <col width="24" customWidth="1" min="7" max="7"/>
    <col width="15" customWidth="1" min="8" max="8"/>
  </cols>
  <sheetData>
    <row r="1" ht="30" customHeight="1">
      <c r="A1" s="15" t="inlineStr">
        <is>
          <t>Póliza</t>
        </is>
      </c>
      <c r="B1" s="15" t="inlineStr">
        <is>
          <t>Asegurado</t>
        </is>
      </c>
      <c r="C1" s="15" t="inlineStr">
        <is>
          <t>Cobertura</t>
        </is>
      </c>
      <c r="D1" s="15" t="inlineStr">
        <is>
          <t>Tipo</t>
        </is>
      </c>
      <c r="E1" s="15" t="inlineStr">
        <is>
          <t>Suma asegurada</t>
        </is>
      </c>
      <c r="F1" s="15" t="inlineStr">
        <is>
          <t>Moneda</t>
        </is>
      </c>
      <c r="G1" s="15" t="inlineStr">
        <is>
          <t>Estatus cobertura</t>
        </is>
      </c>
      <c r="H1" s="15" t="inlineStr">
        <is>
          <t>Equivalente MXN</t>
        </is>
      </c>
    </row>
    <row r="2">
      <c r="A2" s="16" t="inlineStr">
        <is>
          <t>89793</t>
        </is>
      </c>
      <c r="B2" s="16" t="inlineStr">
        <is>
          <t>DANIEL CARDONA SANCHEZ</t>
        </is>
      </c>
      <c r="C2" s="16" t="inlineStr">
        <is>
          <t>BIENESTAR PRUDENTIAL 20 AÑOS SIN INVALIDEZ (UDIS)</t>
        </is>
      </c>
      <c r="D2" s="16" t="inlineStr">
        <is>
          <t>BASICA</t>
        </is>
      </c>
      <c r="E2" s="17" t="n">
        <v>150000</v>
      </c>
      <c r="F2" s="16" t="inlineStr">
        <is>
          <t>UDIS</t>
        </is>
      </c>
      <c r="G2" s="16" t="inlineStr">
        <is>
          <t>PAGO DE PRIMAS EN CURSO</t>
        </is>
      </c>
      <c r="H2" s="18">
        <f>IF($F2="UDIS",E2*Resumen!$B$6,E2*Resumen!$B$7)</f>
        <v/>
      </c>
    </row>
    <row r="3">
      <c r="A3" s="20" t="inlineStr">
        <is>
          <t>89793</t>
        </is>
      </c>
      <c r="B3" s="20" t="inlineStr">
        <is>
          <t>DANIEL CARDONA SANCHEZ</t>
        </is>
      </c>
      <c r="C3" s="20" t="inlineStr">
        <is>
          <t>CIRUGÍAS BRONCE SIN INVALIDEZ (UDIS)</t>
        </is>
      </c>
      <c r="D3" s="20" t="inlineStr">
        <is>
          <t>SALUD</t>
        </is>
      </c>
      <c r="E3" s="21" t="n">
        <v>40000</v>
      </c>
      <c r="F3" s="20" t="inlineStr">
        <is>
          <t>UDIS</t>
        </is>
      </c>
      <c r="G3" s="20" t="inlineStr">
        <is>
          <t>PAGO DE PRIMAS EN CURSO</t>
        </is>
      </c>
      <c r="H3" s="22">
        <f>IF($F3="UDIS",E3*Resumen!$B$6,E3*Resumen!$B$7)</f>
        <v/>
      </c>
    </row>
    <row r="4">
      <c r="A4" s="16" t="inlineStr">
        <is>
          <t>89793</t>
        </is>
      </c>
      <c r="B4" s="16" t="inlineStr">
        <is>
          <t>DANIEL CARDONA SANCHEZ</t>
        </is>
      </c>
      <c r="C4" s="16" t="inlineStr">
        <is>
          <t>INVALIDEZ TOTAL Y PERMANENTE</t>
        </is>
      </c>
      <c r="D4" s="16" t="inlineStr">
        <is>
          <t>INVALIDEZ</t>
        </is>
      </c>
      <c r="E4" s="17" t="n">
        <v>150000</v>
      </c>
      <c r="F4" s="16" t="inlineStr">
        <is>
          <t>UDIS</t>
        </is>
      </c>
      <c r="G4" s="16" t="inlineStr">
        <is>
          <t>no disponible</t>
        </is>
      </c>
      <c r="H4" s="18">
        <f>IF($F4="UDIS",E4*Resumen!$B$6,E4*Resumen!$B$7)</f>
        <v/>
      </c>
    </row>
    <row r="5">
      <c r="A5" s="20" t="inlineStr">
        <is>
          <t>89793</t>
        </is>
      </c>
      <c r="B5" s="20" t="inlineStr">
        <is>
          <t>DANIEL CARDONA SANCHEZ</t>
        </is>
      </c>
      <c r="C5" s="20" t="inlineStr">
        <is>
          <t>MUERTE ACCIDENTAL O PÉRDIDAS ORGÁNICAS</t>
        </is>
      </c>
      <c r="D5" s="20" t="inlineStr">
        <is>
          <t>ACCIDENTAL</t>
        </is>
      </c>
      <c r="E5" s="21" t="n">
        <v>150000</v>
      </c>
      <c r="F5" s="20" t="inlineStr">
        <is>
          <t>UDIS</t>
        </is>
      </c>
      <c r="G5" s="20" t="inlineStr">
        <is>
          <t>no disponible</t>
        </is>
      </c>
      <c r="H5" s="22">
        <f>IF($F5="UDIS",E5*Resumen!$B$6,E5*Resumen!$B$7)</f>
        <v/>
      </c>
    </row>
    <row r="6">
      <c r="A6" s="16" t="inlineStr">
        <is>
          <t>102239</t>
        </is>
      </c>
      <c r="B6" s="16" t="inlineStr">
        <is>
          <t>DANIEL CARDONA SANCHEZ</t>
        </is>
      </c>
      <c r="C6" s="16" t="inlineStr">
        <is>
          <t>PERSONALIZA PRU 20 AÑOS (UDIS)</t>
        </is>
      </c>
      <c r="D6" s="16" t="inlineStr">
        <is>
          <t>BASICA</t>
        </is>
      </c>
      <c r="E6" s="17" t="n">
        <v>60000</v>
      </c>
      <c r="F6" s="16" t="inlineStr">
        <is>
          <t>UDIS</t>
        </is>
      </c>
      <c r="G6" s="16" t="inlineStr">
        <is>
          <t>PAGO DE PRIMAS EN CURSO</t>
        </is>
      </c>
      <c r="H6" s="18">
        <f>IF($F6="UDIS",E6*Resumen!$B$6,E6*Resumen!$B$7)</f>
        <v/>
      </c>
    </row>
    <row r="7">
      <c r="A7" s="20" t="inlineStr">
        <is>
          <t>102239</t>
        </is>
      </c>
      <c r="B7" s="20" t="inlineStr">
        <is>
          <t>DANIEL CARDONA SANCHEZ</t>
        </is>
      </c>
      <c r="C7" s="20" t="inlineStr">
        <is>
          <t>EXCESO PERSONALIZA PRU 20 AÑOS (UDIS)</t>
        </is>
      </c>
      <c r="D7" s="20" t="inlineStr">
        <is>
          <t>EXCESO</t>
        </is>
      </c>
      <c r="E7" s="21" t="n">
        <v>0</v>
      </c>
      <c r="F7" s="20" t="inlineStr">
        <is>
          <t>UDIS</t>
        </is>
      </c>
      <c r="G7" s="20" t="inlineStr">
        <is>
          <t>PAGO DE PRIMAS EN CURSO</t>
        </is>
      </c>
      <c r="H7" s="22">
        <f>IF($F7="UDIS",E7*Resumen!$B$6,E7*Resumen!$B$7)</f>
        <v/>
      </c>
    </row>
    <row r="8">
      <c r="A8" s="16" t="inlineStr">
        <is>
          <t>102239</t>
        </is>
      </c>
      <c r="B8" s="16" t="inlineStr">
        <is>
          <t>DANIEL CARDONA SANCHEZ</t>
        </is>
      </c>
      <c r="C8" s="16" t="inlineStr">
        <is>
          <t>INVALIDEZ TOTAL Y PERMANENTE</t>
        </is>
      </c>
      <c r="D8" s="16" t="inlineStr">
        <is>
          <t>INVALIDEZ</t>
        </is>
      </c>
      <c r="E8" s="17" t="n">
        <v>200000</v>
      </c>
      <c r="F8" s="16" t="inlineStr">
        <is>
          <t>UDIS</t>
        </is>
      </c>
      <c r="G8" s="16" t="inlineStr">
        <is>
          <t>no disponible</t>
        </is>
      </c>
      <c r="H8" s="18">
        <f>IF($F8="UDIS",E8*Resumen!$B$6,E8*Resumen!$B$7)</f>
        <v/>
      </c>
    </row>
    <row r="9">
      <c r="A9" s="20" t="inlineStr">
        <is>
          <t>102239</t>
        </is>
      </c>
      <c r="B9" s="20" t="inlineStr">
        <is>
          <t>DANIEL CARDONA SANCHEZ</t>
        </is>
      </c>
      <c r="C9" s="20" t="inlineStr">
        <is>
          <t>MUERTE ACCIDENTAL O PÉRDIDAS ORGÁNICAS</t>
        </is>
      </c>
      <c r="D9" s="20" t="inlineStr">
        <is>
          <t>ACCIDENTAL</t>
        </is>
      </c>
      <c r="E9" s="21" t="n">
        <v>200000</v>
      </c>
      <c r="F9" s="20" t="inlineStr">
        <is>
          <t>UDIS</t>
        </is>
      </c>
      <c r="G9" s="20" t="inlineStr">
        <is>
          <t>no disponible</t>
        </is>
      </c>
      <c r="H9" s="22">
        <f>IF($F9="UDIS",E9*Resumen!$B$6,E9*Resumen!$B$7)</f>
        <v/>
      </c>
    </row>
    <row r="10">
      <c r="A10" s="16" t="inlineStr">
        <is>
          <t>102261</t>
        </is>
      </c>
      <c r="B10" s="16" t="inlineStr">
        <is>
          <t>DANIEL CARDONA SANCHEZ</t>
        </is>
      </c>
      <c r="C10" s="16" t="inlineStr">
        <is>
          <t>GARANTÍA PRUDENTIAL 20 AÑOS SIN INVALIDEZ (UDIS)</t>
        </is>
      </c>
      <c r="D10" s="16" t="inlineStr">
        <is>
          <t>BASICA</t>
        </is>
      </c>
      <c r="E10" s="17" t="n">
        <v>225000</v>
      </c>
      <c r="F10" s="16" t="inlineStr">
        <is>
          <t>UDIS</t>
        </is>
      </c>
      <c r="G10" s="16" t="inlineStr">
        <is>
          <t>PAGO DE PRIMAS EN CURSO</t>
        </is>
      </c>
      <c r="H10" s="18">
        <f>IF($F10="UDIS",E10*Resumen!$B$6,E10*Resumen!$B$7)</f>
        <v/>
      </c>
    </row>
    <row r="11">
      <c r="A11" s="20" t="inlineStr">
        <is>
          <t>102261</t>
        </is>
      </c>
      <c r="B11" s="20" t="inlineStr">
        <is>
          <t>DANIEL CARDONA SANCHEZ</t>
        </is>
      </c>
      <c r="C11" s="20" t="inlineStr">
        <is>
          <t>INVALIDEZ TOTAL Y PERMANENTE</t>
        </is>
      </c>
      <c r="D11" s="20" t="inlineStr">
        <is>
          <t>INVALIDEZ</t>
        </is>
      </c>
      <c r="E11" s="21" t="n">
        <v>225000</v>
      </c>
      <c r="F11" s="20" t="inlineStr">
        <is>
          <t>UDIS</t>
        </is>
      </c>
      <c r="G11" s="20" t="inlineStr">
        <is>
          <t>no disponible</t>
        </is>
      </c>
      <c r="H11" s="22">
        <f>IF($F11="UDIS",E11*Resumen!$B$6,E11*Resumen!$B$7)</f>
        <v/>
      </c>
    </row>
    <row r="12">
      <c r="A12" s="16" t="inlineStr">
        <is>
          <t>102261</t>
        </is>
      </c>
      <c r="B12" s="16" t="inlineStr">
        <is>
          <t>DANIEL CARDONA SANCHEZ</t>
        </is>
      </c>
      <c r="C12" s="16" t="inlineStr">
        <is>
          <t>MUERTE ACCIDENTAL O PÉRDIDAS ORGÁNICAS</t>
        </is>
      </c>
      <c r="D12" s="16" t="inlineStr">
        <is>
          <t>ACCIDENTAL</t>
        </is>
      </c>
      <c r="E12" s="17" t="n">
        <v>225000</v>
      </c>
      <c r="F12" s="16" t="inlineStr">
        <is>
          <t>UDIS</t>
        </is>
      </c>
      <c r="G12" s="16" t="inlineStr">
        <is>
          <t>no disponible</t>
        </is>
      </c>
      <c r="H12" s="18">
        <f>IF($F12="UDIS",E12*Resumen!$B$6,E12*Resumen!$B$7)</f>
        <v/>
      </c>
    </row>
    <row r="13">
      <c r="A13" s="20" t="inlineStr">
        <is>
          <t>102264</t>
        </is>
      </c>
      <c r="B13" s="20" t="inlineStr">
        <is>
          <t>DANIEL CARDONA SANCHEZ</t>
        </is>
      </c>
      <c r="C13" s="20" t="inlineStr">
        <is>
          <t>BIENESTAR PRUDENTIAL 5 AÑOS SIN INVALIDEZ (USD)</t>
        </is>
      </c>
      <c r="D13" s="20" t="inlineStr">
        <is>
          <t>BASICA</t>
        </is>
      </c>
      <c r="E13" s="21" t="n">
        <v>113300</v>
      </c>
      <c r="F13" s="20" t="inlineStr">
        <is>
          <t>DOLARES</t>
        </is>
      </c>
      <c r="G13" s="20" t="inlineStr">
        <is>
          <t>PAGO DE PRIMAS EN CURSO</t>
        </is>
      </c>
      <c r="H13" s="22">
        <f>IF($F13="UDIS",E13*Resumen!$B$6,E13*Resumen!$B$7)</f>
        <v/>
      </c>
    </row>
    <row r="14">
      <c r="A14" s="16" t="inlineStr">
        <is>
          <t>102264</t>
        </is>
      </c>
      <c r="B14" s="16" t="inlineStr">
        <is>
          <t>DANIEL CARDONA SANCHEZ</t>
        </is>
      </c>
      <c r="C14" s="16" t="inlineStr">
        <is>
          <t>INVALIDEZ TOTAL Y PERMANENTE</t>
        </is>
      </c>
      <c r="D14" s="16" t="inlineStr">
        <is>
          <t>INVALIDEZ</t>
        </is>
      </c>
      <c r="E14" s="17" t="n">
        <v>113300</v>
      </c>
      <c r="F14" s="16" t="inlineStr">
        <is>
          <t>DOLARES</t>
        </is>
      </c>
      <c r="G14" s="16" t="inlineStr">
        <is>
          <t>no disponible</t>
        </is>
      </c>
      <c r="H14" s="18">
        <f>IF($F14="UDIS",E14*Resumen!$B$6,E14*Resumen!$B$7)</f>
        <v/>
      </c>
    </row>
    <row r="15">
      <c r="A15" s="20" t="inlineStr">
        <is>
          <t>102264</t>
        </is>
      </c>
      <c r="B15" s="20" t="inlineStr">
        <is>
          <t>DANIEL CARDONA SANCHEZ</t>
        </is>
      </c>
      <c r="C15" s="20" t="inlineStr">
        <is>
          <t>MUERTE ACCIDENTAL O PÉRDIDAS ORGÁNICAS</t>
        </is>
      </c>
      <c r="D15" s="20" t="inlineStr">
        <is>
          <t>ACCIDENTAL</t>
        </is>
      </c>
      <c r="E15" s="21" t="n">
        <v>113300</v>
      </c>
      <c r="F15" s="20" t="inlineStr">
        <is>
          <t>DOLARES</t>
        </is>
      </c>
      <c r="G15" s="20" t="inlineStr">
        <is>
          <t>no disponible</t>
        </is>
      </c>
      <c r="H15" s="22">
        <f>IF($F15="UDIS",E15*Resumen!$B$6,E15*Resumen!$B$7)</f>
        <v/>
      </c>
    </row>
    <row r="16">
      <c r="A16" s="16" t="inlineStr">
        <is>
          <t>92834</t>
        </is>
      </c>
      <c r="B16" s="16" t="inlineStr">
        <is>
          <t>MARTHA LETICIA GOSSEREZ ROJAS</t>
        </is>
      </c>
      <c r="C16" s="16" t="inlineStr">
        <is>
          <t>BIENESTAR PRUDENTIAL 10 AÑOS SIN INVALIDEZ (UDIS)</t>
        </is>
      </c>
      <c r="D16" s="16" t="inlineStr">
        <is>
          <t>BASICA</t>
        </is>
      </c>
      <c r="E16" s="17" t="n">
        <v>250000</v>
      </c>
      <c r="F16" s="16" t="inlineStr">
        <is>
          <t>UDIS</t>
        </is>
      </c>
      <c r="G16" s="16" t="inlineStr">
        <is>
          <t>PAGO DE PRIMAS EN CURSO</t>
        </is>
      </c>
      <c r="H16" s="18">
        <f>IF($F16="UDIS",E16*Resumen!$B$6,E16*Resumen!$B$7)</f>
        <v/>
      </c>
    </row>
    <row r="17">
      <c r="A17" s="20" t="inlineStr">
        <is>
          <t>92834</t>
        </is>
      </c>
      <c r="B17" s="20" t="inlineStr">
        <is>
          <t>MARTHA LETICIA GOSSEREZ ROJAS</t>
        </is>
      </c>
      <c r="C17" s="20" t="inlineStr">
        <is>
          <t>ENFERMEDADES GRAVES PLUS SIN INVALIDEZ (UDIS)</t>
        </is>
      </c>
      <c r="D17" s="20" t="inlineStr">
        <is>
          <t>SALUD</t>
        </is>
      </c>
      <c r="E17" s="21" t="n">
        <v>27500</v>
      </c>
      <c r="F17" s="20" t="inlineStr">
        <is>
          <t>UDIS</t>
        </is>
      </c>
      <c r="G17" s="20" t="inlineStr">
        <is>
          <t>PAGO DE PRIMAS EN CURSO</t>
        </is>
      </c>
      <c r="H17" s="22">
        <f>IF($F17="UDIS",E17*Resumen!$B$6,E17*Resumen!$B$7)</f>
        <v/>
      </c>
    </row>
    <row r="18">
      <c r="A18" s="16" t="inlineStr">
        <is>
          <t>92834</t>
        </is>
      </c>
      <c r="B18" s="16" t="inlineStr">
        <is>
          <t>MARTHA LETICIA GOSSEREZ ROJAS</t>
        </is>
      </c>
      <c r="C18" s="16" t="inlineStr">
        <is>
          <t>INVALIDEZ TOTAL Y PERMANENTE</t>
        </is>
      </c>
      <c r="D18" s="16" t="inlineStr">
        <is>
          <t>INVALIDEZ</t>
        </is>
      </c>
      <c r="E18" s="17" t="n">
        <v>250000</v>
      </c>
      <c r="F18" s="16" t="inlineStr">
        <is>
          <t>UDIS</t>
        </is>
      </c>
      <c r="G18" s="16" t="inlineStr">
        <is>
          <t>no disponible</t>
        </is>
      </c>
      <c r="H18" s="18">
        <f>IF($F18="UDIS",E18*Resumen!$B$6,E18*Resumen!$B$7)</f>
        <v/>
      </c>
    </row>
    <row r="19">
      <c r="A19" s="20" t="inlineStr">
        <is>
          <t>92834</t>
        </is>
      </c>
      <c r="B19" s="20" t="inlineStr">
        <is>
          <t>MARTHA LETICIA GOSSEREZ ROJAS</t>
        </is>
      </c>
      <c r="C19" s="20" t="inlineStr">
        <is>
          <t>MUERTE ACCIDENTAL O PÉRDIDAS ORGÁNICAS</t>
        </is>
      </c>
      <c r="D19" s="20" t="inlineStr">
        <is>
          <t>ACCIDENTAL</t>
        </is>
      </c>
      <c r="E19" s="21" t="n">
        <v>250000</v>
      </c>
      <c r="F19" s="20" t="inlineStr">
        <is>
          <t>UDIS</t>
        </is>
      </c>
      <c r="G19" s="20" t="inlineStr">
        <is>
          <t>no disponible</t>
        </is>
      </c>
      <c r="H19" s="22">
        <f>IF($F19="UDIS",E19*Resumen!$B$6,E19*Resumen!$B$7)</f>
        <v/>
      </c>
    </row>
    <row r="20">
      <c r="A20" s="16" t="inlineStr">
        <is>
          <t>100631</t>
        </is>
      </c>
      <c r="B20" s="16" t="inlineStr">
        <is>
          <t>ALDO CARDONA GOSSEREZ</t>
        </is>
      </c>
      <c r="C20" s="16" t="inlineStr">
        <is>
          <t>PERSONALIZA PRU 20 AÑOS (UDIS)</t>
        </is>
      </c>
      <c r="D20" s="16" t="inlineStr">
        <is>
          <t>BASICA</t>
        </is>
      </c>
      <c r="E20" s="17" t="n">
        <v>60000</v>
      </c>
      <c r="F20" s="16" t="inlineStr">
        <is>
          <t>UDIS</t>
        </is>
      </c>
      <c r="G20" s="16" t="inlineStr">
        <is>
          <t>PAGO DE PRIMAS EN CURSO</t>
        </is>
      </c>
      <c r="H20" s="18">
        <f>IF($F20="UDIS",E20*Resumen!$B$6,E20*Resumen!$B$7)</f>
        <v/>
      </c>
    </row>
    <row r="21">
      <c r="A21" s="20" t="inlineStr">
        <is>
          <t>100631</t>
        </is>
      </c>
      <c r="B21" s="20" t="inlineStr">
        <is>
          <t>ALDO CARDONA GOSSEREZ</t>
        </is>
      </c>
      <c r="C21" s="20" t="inlineStr">
        <is>
          <t>EXCESO PERSONALIZA PRU 20 AÑOS (UDIS)</t>
        </is>
      </c>
      <c r="D21" s="20" t="inlineStr">
        <is>
          <t>EXCESO</t>
        </is>
      </c>
      <c r="E21" s="21" t="n">
        <v>0</v>
      </c>
      <c r="F21" s="20" t="inlineStr">
        <is>
          <t>UDIS</t>
        </is>
      </c>
      <c r="G21" s="20" t="inlineStr">
        <is>
          <t>PAGO DE PRIMAS EN CURSO</t>
        </is>
      </c>
      <c r="H21" s="22">
        <f>IF($F21="UDIS",E21*Resumen!$B$6,E21*Resumen!$B$7)</f>
        <v/>
      </c>
    </row>
    <row r="22">
      <c r="A22" s="16" t="inlineStr">
        <is>
          <t>100631</t>
        </is>
      </c>
      <c r="B22" s="16" t="inlineStr">
        <is>
          <t>ALDO CARDONA GOSSEREZ</t>
        </is>
      </c>
      <c r="C22" s="16" t="inlineStr">
        <is>
          <t>MUERTE ACCIDENTAL O PÉRDIDAS ORGÁNICAS</t>
        </is>
      </c>
      <c r="D22" s="16" t="inlineStr">
        <is>
          <t>ACCIDENTAL</t>
        </is>
      </c>
      <c r="E22" s="17" t="n">
        <v>370000</v>
      </c>
      <c r="F22" s="16" t="inlineStr">
        <is>
          <t>UDIS</t>
        </is>
      </c>
      <c r="G22" s="16" t="inlineStr">
        <is>
          <t>no disponible</t>
        </is>
      </c>
      <c r="H22" s="18">
        <f>IF($F22="UDIS",E22*Resumen!$B$6,E22*Resumen!$B$7)</f>
        <v/>
      </c>
    </row>
    <row r="24">
      <c r="A24" s="7" t="inlineStr">
        <is>
          <t>Detalle completo de las 21 coberturas. Filtra por la columna Tipo para aislar BASICA, INVALIDEZ, ACCIDENTAL, SALUD o EXCESO.</t>
        </is>
      </c>
    </row>
  </sheetData>
  <autoFilter ref="A1:H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2026-08-11T19:08:05Z</dcterms:created>
  <dcterms:modified xsi:type="dcterms:W3CDTF">2026-08-11T19:08:05Z</dcterms:modified>
</cp:coreProperties>
</file>